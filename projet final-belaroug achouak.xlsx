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6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</sheets>
  <calcPr calcId="124519"/>
  <pivotCaches>
    <pivotCache cacheId="6" r:id="rId8"/>
  </pivotCaches>
</workbook>
</file>

<file path=xl/calcChain.xml><?xml version="1.0" encoding="utf-8"?>
<calcChain xmlns="http://schemas.openxmlformats.org/spreadsheetml/2006/main">
  <c r="C11" i="6"/>
  <c r="C3"/>
  <c r="C4"/>
  <c r="C5"/>
  <c r="C6"/>
  <c r="C7"/>
  <c r="C8"/>
  <c r="C9"/>
  <c r="C10"/>
  <c r="C2"/>
  <c r="G2" i="5"/>
  <c r="F3"/>
  <c r="G3" s="1"/>
  <c r="F2"/>
  <c r="E15"/>
  <c r="F15" s="1"/>
  <c r="G15" s="1"/>
  <c r="E3"/>
  <c r="E4"/>
  <c r="F4" s="1"/>
  <c r="G4" s="1"/>
  <c r="E5"/>
  <c r="F5" s="1"/>
  <c r="G5" s="1"/>
  <c r="E6"/>
  <c r="F6" s="1"/>
  <c r="G6" s="1"/>
  <c r="E7"/>
  <c r="F7" s="1"/>
  <c r="G7" s="1"/>
  <c r="E8"/>
  <c r="F8" s="1"/>
  <c r="G8" s="1"/>
  <c r="E9"/>
  <c r="F9" s="1"/>
  <c r="G9" s="1"/>
  <c r="E10"/>
  <c r="F10" s="1"/>
  <c r="G10" s="1"/>
  <c r="E11"/>
  <c r="F11" s="1"/>
  <c r="G11" s="1"/>
  <c r="E12"/>
  <c r="F12" s="1"/>
  <c r="G12" s="1"/>
  <c r="E13"/>
  <c r="F13" s="1"/>
  <c r="G13" s="1"/>
  <c r="E14"/>
  <c r="F14" s="1"/>
  <c r="G14" s="1"/>
  <c r="E2"/>
  <c r="H18" l="1"/>
  <c r="H20" l="1"/>
  <c r="H21"/>
</calcChain>
</file>

<file path=xl/sharedStrings.xml><?xml version="1.0" encoding="utf-8"?>
<sst xmlns="http://schemas.openxmlformats.org/spreadsheetml/2006/main" count="144" uniqueCount="43">
  <si>
    <t>Ivy League Applicants</t>
  </si>
  <si>
    <t>Students</t>
  </si>
  <si>
    <t>Arts</t>
  </si>
  <si>
    <t>Yale</t>
  </si>
  <si>
    <t>Physics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</si>
  <si>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</si>
  <si>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</si>
  <si>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</si>
  <si>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</si>
  <si>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</si>
  <si>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</si>
  <si>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</si>
  <si>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</si>
  <si>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Psychology</t>
  </si>
  <si>
    <t>Penn state</t>
  </si>
  <si>
    <t>Faculty</t>
  </si>
  <si>
    <t>University</t>
  </si>
  <si>
    <t>Somme de Students</t>
  </si>
  <si>
    <t>Étiquettes de lignes</t>
  </si>
  <si>
    <t>Total général</t>
  </si>
  <si>
    <t>Moyenne de Students</t>
  </si>
  <si>
    <t>Étiquettes de colonnes</t>
  </si>
  <si>
    <t>Valeurs</t>
  </si>
  <si>
    <t>Moyenne de Students2</t>
  </si>
  <si>
    <t>ID</t>
  </si>
  <si>
    <t>PU</t>
  </si>
  <si>
    <t>QTE</t>
  </si>
  <si>
    <t>PT</t>
  </si>
  <si>
    <t>Remis</t>
  </si>
  <si>
    <t>Val Remis</t>
  </si>
  <si>
    <t>Total a payer</t>
  </si>
  <si>
    <t>Total facture:</t>
  </si>
  <si>
    <t>TVA:</t>
  </si>
  <si>
    <t>Val TVA:</t>
  </si>
  <si>
    <t>TIC:</t>
  </si>
  <si>
    <t>Time(s)</t>
  </si>
  <si>
    <t>Distance(m)</t>
  </si>
  <si>
    <t>Speed(m/s)</t>
  </si>
  <si>
    <t>belaroug achouak</t>
  </si>
  <si>
    <t>nome et prenom :</t>
  </si>
  <si>
    <t>matricule :</t>
  </si>
  <si>
    <t>section:</t>
  </si>
  <si>
    <t>A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</si>
</sst>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_-* #,##0.00\ [$DZD]_-;\-* #,##0.00\ [$DZD]_-;_-* &quot;-&quot;??\ [$DZD]_-;_-@_-"/>
    <numFmt numFmtId="168" formatCode="_-* #,##0\ _€_-;\-* #,##0\ _€_-;_-* &quot;-&quot;??\ _€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9" fontId="0" fillId="10" borderId="1" xfId="2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9" fontId="0" fillId="7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9" fontId="3" fillId="3" borderId="1" xfId="2" applyFont="1" applyFill="1" applyBorder="1" applyAlignment="1">
      <alignment horizontal="center"/>
    </xf>
    <xf numFmtId="0" fontId="3" fillId="6" borderId="1" xfId="0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8" fontId="0" fillId="0" borderId="10" xfId="1" applyNumberFormat="1" applyFont="1" applyBorder="1" applyAlignment="1">
      <alignment horizontal="center"/>
    </xf>
    <xf numFmtId="168" fontId="0" fillId="0" borderId="11" xfId="1" applyNumberFormat="1" applyFont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Light16"/>
  <colors>
    <mruColors>
      <color rgb="FFCCECFF"/>
      <color rgb="FFCCFF99"/>
      <color rgb="FFCCFFCC"/>
      <color rgb="FF99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/>
              <a:t>Speed(m/s)/Time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Feuil6!$C$1</c:f>
              <c:strCache>
                <c:ptCount val="1"/>
                <c:pt idx="0">
                  <c:v>Speed(m/s)</c:v>
                </c:pt>
              </c:strCache>
            </c:strRef>
          </c:tx>
          <c:marker>
            <c:symbol val="none"/>
          </c:marker>
          <c:val>
            <c:numRef>
              <c:f>Feuil6!$C$2:$C$11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</c:ser>
        <c:marker val="1"/>
        <c:axId val="116318208"/>
        <c:axId val="116320896"/>
      </c:lineChart>
      <c:catAx>
        <c:axId val="116318208"/>
        <c:scaling>
          <c:orientation val="minMax"/>
        </c:scaling>
        <c:axPos val="b"/>
        <c:tickLblPos val="nextTo"/>
        <c:crossAx val="116320896"/>
        <c:crosses val="autoZero"/>
        <c:auto val="1"/>
        <c:lblAlgn val="ctr"/>
        <c:lblOffset val="100"/>
      </c:catAx>
      <c:valAx>
        <c:axId val="116320896"/>
        <c:scaling>
          <c:orientation val="minMax"/>
        </c:scaling>
        <c:axPos val="l"/>
        <c:majorGridlines/>
        <c:numFmt formatCode="General" sourceLinked="1"/>
        <c:tickLblPos val="nextTo"/>
        <c:crossAx val="116318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 Speed/Distance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cat>
            <c:numRef>
              <c:f>Feuil6!$B$2:$B$11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Feuil6!$C$2:$C$11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</c:ser>
        <c:dLbls/>
        <c:marker val="1"/>
        <c:axId val="124885632"/>
        <c:axId val="126957056"/>
      </c:lineChart>
      <c:catAx>
        <c:axId val="124885632"/>
        <c:scaling>
          <c:orientation val="minMax"/>
        </c:scaling>
        <c:axPos val="b"/>
        <c:numFmt formatCode="General" sourceLinked="1"/>
        <c:majorTickMark val="none"/>
        <c:tickLblPos val="nextTo"/>
        <c:crossAx val="126957056"/>
        <c:crosses val="autoZero"/>
        <c:auto val="1"/>
        <c:lblAlgn val="ctr"/>
        <c:lblOffset val="100"/>
      </c:catAx>
      <c:valAx>
        <c:axId val="12695705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4885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5</xdr:row>
      <xdr:rowOff>95250</xdr:rowOff>
    </xdr:from>
    <xdr:to>
      <xdr:col>10</xdr:col>
      <xdr:colOff>542925</xdr:colOff>
      <xdr:row>19</xdr:row>
      <xdr:rowOff>171450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3</xdr:row>
      <xdr:rowOff>161925</xdr:rowOff>
    </xdr:from>
    <xdr:to>
      <xdr:col>17</xdr:col>
      <xdr:colOff>238125</xdr:colOff>
      <xdr:row>19</xdr:row>
      <xdr:rowOff>76200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Zclient" refreshedDate="46011.8653962963" createdVersion="3" refreshedVersion="3" minRefreshableVersion="3" recordCount="40">
  <cacheSource type="worksheet">
    <worksheetSource ref="A2:C42" sheet="Feuil1"/>
  </cacheSource>
  <cacheFields count="3">
    <cacheField name="Students" numFmtId="0">
      <sharedItems containsSemiMixedTypes="0" containsString="0" containsNumber="1" containsInteger="1" minValue="135" maxValue="9567" count="37">
        <n v="591"/>
        <n v="9567"/>
        <n v="542"/>
        <n v="346"/>
        <n v="849"/>
        <n v="552"/>
        <n v="173"/>
        <n v="1355"/>
        <n v="193"/>
        <n v="615"/>
        <n v="1579"/>
        <n v="547"/>
        <n v="1687"/>
        <n v="972"/>
        <n v="234"/>
        <n v="151"/>
        <n v="1793"/>
        <n v="315"/>
        <n v="618"/>
        <n v="246"/>
        <n v="784"/>
        <n v="316"/>
        <n v="3155"/>
        <n v="318"/>
        <n v="608"/>
        <n v="561"/>
        <n v="357"/>
        <n v="1688"/>
        <n v="568"/>
        <n v="632"/>
        <n v="551"/>
        <n v="948"/>
        <n v="1358"/>
        <n v="135"/>
        <n v="158"/>
        <n v="1889"/>
        <n v="651"/>
      </sharedItems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</r>
  <r>
    <x v="1"/>
    <x v="1"/>
    <x v="1"/>
  </r>
  <r>
    <x v="2"/>
    <x v="2"/>
    <x v="2"/>
  </r>
  <r>
    <x v="3"/>
    <x v="2"/>
    <x v="3"/>
  </r>
  <r>
    <x v="4"/>
    <x v="0"/>
    <x v="4"/>
  </r>
  <r>
    <x v="5"/>
    <x v="2"/>
    <x v="5"/>
  </r>
  <r>
    <x v="6"/>
    <x v="0"/>
    <x v="3"/>
  </r>
  <r>
    <x v="7"/>
    <x v="0"/>
    <x v="5"/>
  </r>
  <r>
    <x v="8"/>
    <x v="3"/>
    <x v="6"/>
  </r>
  <r>
    <x v="9"/>
    <x v="3"/>
    <x v="3"/>
  </r>
  <r>
    <x v="10"/>
    <x v="3"/>
    <x v="1"/>
  </r>
  <r>
    <x v="11"/>
    <x v="1"/>
    <x v="2"/>
  </r>
  <r>
    <x v="12"/>
    <x v="4"/>
    <x v="2"/>
  </r>
  <r>
    <x v="13"/>
    <x v="2"/>
    <x v="1"/>
  </r>
  <r>
    <x v="14"/>
    <x v="2"/>
    <x v="7"/>
  </r>
  <r>
    <x v="15"/>
    <x v="4"/>
    <x v="6"/>
  </r>
  <r>
    <x v="16"/>
    <x v="1"/>
    <x v="4"/>
  </r>
  <r>
    <x v="17"/>
    <x v="4"/>
    <x v="4"/>
  </r>
  <r>
    <x v="18"/>
    <x v="1"/>
    <x v="5"/>
  </r>
  <r>
    <x v="19"/>
    <x v="1"/>
    <x v="0"/>
  </r>
  <r>
    <x v="20"/>
    <x v="1"/>
    <x v="6"/>
  </r>
  <r>
    <x v="21"/>
    <x v="3"/>
    <x v="2"/>
  </r>
  <r>
    <x v="22"/>
    <x v="0"/>
    <x v="2"/>
  </r>
  <r>
    <x v="23"/>
    <x v="4"/>
    <x v="7"/>
  </r>
  <r>
    <x v="24"/>
    <x v="2"/>
    <x v="4"/>
  </r>
  <r>
    <x v="25"/>
    <x v="0"/>
    <x v="6"/>
  </r>
  <r>
    <x v="26"/>
    <x v="4"/>
    <x v="0"/>
  </r>
  <r>
    <x v="27"/>
    <x v="3"/>
    <x v="4"/>
  </r>
  <r>
    <x v="13"/>
    <x v="2"/>
    <x v="6"/>
  </r>
  <r>
    <x v="28"/>
    <x v="1"/>
    <x v="7"/>
  </r>
  <r>
    <x v="29"/>
    <x v="3"/>
    <x v="7"/>
  </r>
  <r>
    <x v="30"/>
    <x v="4"/>
    <x v="5"/>
  </r>
  <r>
    <x v="31"/>
    <x v="1"/>
    <x v="3"/>
  </r>
  <r>
    <x v="32"/>
    <x v="0"/>
    <x v="1"/>
  </r>
  <r>
    <x v="33"/>
    <x v="0"/>
    <x v="7"/>
  </r>
  <r>
    <x v="4"/>
    <x v="3"/>
    <x v="0"/>
  </r>
  <r>
    <x v="34"/>
    <x v="4"/>
    <x v="3"/>
  </r>
  <r>
    <x v="35"/>
    <x v="3"/>
    <x v="5"/>
  </r>
  <r>
    <x v="36"/>
    <x v="4"/>
    <x v="1"/>
  </r>
  <r>
    <x v="3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1:C8" firstHeaderRow="1" firstDataRow="2" firstDataCol="1"/>
  <pivotFields count="3">
    <pivotField dataFiel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" fld="0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2" cacheId="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1:C11" firstHeaderRow="1" firstDataRow="2" firstDataCol="1"/>
  <pivotFields count="3">
    <pivotField dataFiel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2" fld="0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3" cacheId="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1:G11" firstHeaderRow="1" firstDataRow="2" firstDataCol="1"/>
  <pivotFields count="3">
    <pivotField dataFiel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Students" fld="0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selection activeCell="F10" sqref="F10"/>
    </sheetView>
  </sheetViews>
  <sheetFormatPr baseColWidth="10" defaultRowHeight="15"/>
  <cols>
    <col min="1" max="1" width="16.28515625" customWidth="1"/>
    <col min="2" max="2" width="26.85546875" customWidth="1"/>
    <col min="3" max="3" width="20.140625" customWidth="1"/>
  </cols>
  <sheetData>
    <row r="1" spans="1:3" ht="27" customHeight="1">
      <c r="A1" s="4" t="s">
        <v>0</v>
      </c>
      <c r="B1" s="3"/>
      <c r="C1" s="3"/>
    </row>
    <row r="2" spans="1:3" ht="23.25" customHeight="1">
      <c r="A2" s="5" t="s">
        <v>1</v>
      </c>
      <c r="B2" s="5" t="s">
        <v>15</v>
      </c>
      <c r="C2" s="5" t="s">
        <v>16</v>
      </c>
    </row>
    <row r="3" spans="1:3">
      <c r="A3" s="26">
        <v>591</v>
      </c>
      <c r="B3" s="26" t="s">
        <v>2</v>
      </c>
      <c r="C3" s="26" t="s">
        <v>3</v>
      </c>
    </row>
    <row r="4" spans="1:3">
      <c r="A4" s="27">
        <v>9567</v>
      </c>
      <c r="B4" s="27" t="s">
        <v>4</v>
      </c>
      <c r="C4" s="27" t="s">
        <v>5</v>
      </c>
    </row>
    <row r="5" spans="1:3">
      <c r="A5" s="26">
        <v>542</v>
      </c>
      <c r="B5" s="26" t="s">
        <v>6</v>
      </c>
      <c r="C5" s="26" t="s">
        <v>7</v>
      </c>
    </row>
    <row r="6" spans="1:3">
      <c r="A6" s="27">
        <v>346</v>
      </c>
      <c r="B6" s="27" t="s">
        <v>6</v>
      </c>
      <c r="C6" s="27" t="s">
        <v>8</v>
      </c>
    </row>
    <row r="7" spans="1:3">
      <c r="A7" s="26">
        <v>849</v>
      </c>
      <c r="B7" s="26" t="s">
        <v>2</v>
      </c>
      <c r="C7" s="26" t="s">
        <v>9</v>
      </c>
    </row>
    <row r="8" spans="1:3">
      <c r="A8" s="27">
        <v>552</v>
      </c>
      <c r="B8" s="27" t="s">
        <v>6</v>
      </c>
      <c r="C8" s="27" t="s">
        <v>10</v>
      </c>
    </row>
    <row r="9" spans="1:3">
      <c r="A9" s="26">
        <v>173</v>
      </c>
      <c r="B9" s="26" t="s">
        <v>2</v>
      </c>
      <c r="C9" s="26" t="s">
        <v>8</v>
      </c>
    </row>
    <row r="10" spans="1:3">
      <c r="A10" s="27">
        <v>1355</v>
      </c>
      <c r="B10" s="27" t="s">
        <v>2</v>
      </c>
      <c r="C10" s="27" t="s">
        <v>10</v>
      </c>
    </row>
    <row r="11" spans="1:3">
      <c r="A11" s="26">
        <v>193</v>
      </c>
      <c r="B11" s="26" t="s">
        <v>11</v>
      </c>
      <c r="C11" s="26" t="s">
        <v>12</v>
      </c>
    </row>
    <row r="12" spans="1:3">
      <c r="A12" s="27">
        <v>615</v>
      </c>
      <c r="B12" s="27" t="s">
        <v>11</v>
      </c>
      <c r="C12" s="27" t="s">
        <v>8</v>
      </c>
    </row>
    <row r="13" spans="1:3">
      <c r="A13" s="26">
        <v>1579</v>
      </c>
      <c r="B13" s="26" t="s">
        <v>11</v>
      </c>
      <c r="C13" s="26" t="s">
        <v>5</v>
      </c>
    </row>
    <row r="14" spans="1:3">
      <c r="A14" s="27">
        <v>547</v>
      </c>
      <c r="B14" s="27" t="s">
        <v>4</v>
      </c>
      <c r="C14" s="27" t="s">
        <v>7</v>
      </c>
    </row>
    <row r="15" spans="1:3">
      <c r="A15" s="26">
        <v>1687</v>
      </c>
      <c r="B15" s="26" t="s">
        <v>13</v>
      </c>
      <c r="C15" s="26" t="s">
        <v>7</v>
      </c>
    </row>
    <row r="16" spans="1:3">
      <c r="A16" s="27">
        <v>972</v>
      </c>
      <c r="B16" s="27" t="s">
        <v>6</v>
      </c>
      <c r="C16" s="27" t="s">
        <v>5</v>
      </c>
    </row>
    <row r="17" spans="1:3">
      <c r="A17" s="26">
        <v>234</v>
      </c>
      <c r="B17" s="26" t="s">
        <v>6</v>
      </c>
      <c r="C17" s="26" t="s">
        <v>14</v>
      </c>
    </row>
    <row r="18" spans="1:3">
      <c r="A18" s="27">
        <v>151</v>
      </c>
      <c r="B18" s="27" t="s">
        <v>13</v>
      </c>
      <c r="C18" s="27" t="s">
        <v>12</v>
      </c>
    </row>
    <row r="19" spans="1:3">
      <c r="A19" s="26">
        <v>1793</v>
      </c>
      <c r="B19" s="26" t="s">
        <v>4</v>
      </c>
      <c r="C19" s="26" t="s">
        <v>9</v>
      </c>
    </row>
    <row r="20" spans="1:3">
      <c r="A20" s="27">
        <v>315</v>
      </c>
      <c r="B20" s="27" t="s">
        <v>13</v>
      </c>
      <c r="C20" s="27" t="s">
        <v>9</v>
      </c>
    </row>
    <row r="21" spans="1:3">
      <c r="A21" s="26">
        <v>618</v>
      </c>
      <c r="B21" s="26" t="s">
        <v>4</v>
      </c>
      <c r="C21" s="26" t="s">
        <v>10</v>
      </c>
    </row>
    <row r="22" spans="1:3">
      <c r="A22" s="27">
        <v>246</v>
      </c>
      <c r="B22" s="27" t="s">
        <v>4</v>
      </c>
      <c r="C22" s="27" t="s">
        <v>3</v>
      </c>
    </row>
    <row r="23" spans="1:3">
      <c r="A23" s="26">
        <v>784</v>
      </c>
      <c r="B23" s="26" t="s">
        <v>4</v>
      </c>
      <c r="C23" s="26" t="s">
        <v>12</v>
      </c>
    </row>
    <row r="24" spans="1:3">
      <c r="A24" s="27">
        <v>316</v>
      </c>
      <c r="B24" s="27" t="s">
        <v>11</v>
      </c>
      <c r="C24" s="27" t="s">
        <v>7</v>
      </c>
    </row>
    <row r="25" spans="1:3">
      <c r="A25" s="26">
        <v>3155</v>
      </c>
      <c r="B25" s="26" t="s">
        <v>2</v>
      </c>
      <c r="C25" s="26" t="s">
        <v>7</v>
      </c>
    </row>
    <row r="26" spans="1:3">
      <c r="A26" s="27">
        <v>318</v>
      </c>
      <c r="B26" s="27" t="s">
        <v>13</v>
      </c>
      <c r="C26" s="27" t="s">
        <v>14</v>
      </c>
    </row>
    <row r="27" spans="1:3">
      <c r="A27" s="26">
        <v>608</v>
      </c>
      <c r="B27" s="26" t="s">
        <v>6</v>
      </c>
      <c r="C27" s="26" t="s">
        <v>9</v>
      </c>
    </row>
    <row r="28" spans="1:3">
      <c r="A28" s="27">
        <v>561</v>
      </c>
      <c r="B28" s="27" t="s">
        <v>2</v>
      </c>
      <c r="C28" s="27" t="s">
        <v>12</v>
      </c>
    </row>
    <row r="29" spans="1:3">
      <c r="A29" s="26">
        <v>357</v>
      </c>
      <c r="B29" s="26" t="s">
        <v>13</v>
      </c>
      <c r="C29" s="26" t="s">
        <v>3</v>
      </c>
    </row>
    <row r="30" spans="1:3">
      <c r="A30" s="27">
        <v>1688</v>
      </c>
      <c r="B30" s="27" t="s">
        <v>11</v>
      </c>
      <c r="C30" s="27" t="s">
        <v>9</v>
      </c>
    </row>
    <row r="31" spans="1:3">
      <c r="A31" s="26">
        <v>972</v>
      </c>
      <c r="B31" s="26" t="s">
        <v>6</v>
      </c>
      <c r="C31" s="26" t="s">
        <v>12</v>
      </c>
    </row>
    <row r="32" spans="1:3">
      <c r="A32" s="27">
        <v>568</v>
      </c>
      <c r="B32" s="27" t="s">
        <v>4</v>
      </c>
      <c r="C32" s="27" t="s">
        <v>14</v>
      </c>
    </row>
    <row r="33" spans="1:3">
      <c r="A33" s="26">
        <v>632</v>
      </c>
      <c r="B33" s="26" t="s">
        <v>11</v>
      </c>
      <c r="C33" s="26" t="s">
        <v>14</v>
      </c>
    </row>
    <row r="34" spans="1:3">
      <c r="A34" s="27">
        <v>551</v>
      </c>
      <c r="B34" s="27" t="s">
        <v>13</v>
      </c>
      <c r="C34" s="27" t="s">
        <v>10</v>
      </c>
    </row>
    <row r="35" spans="1:3">
      <c r="A35" s="26">
        <v>948</v>
      </c>
      <c r="B35" s="26" t="s">
        <v>4</v>
      </c>
      <c r="C35" s="26" t="s">
        <v>8</v>
      </c>
    </row>
    <row r="36" spans="1:3">
      <c r="A36" s="27">
        <v>1358</v>
      </c>
      <c r="B36" s="27" t="s">
        <v>2</v>
      </c>
      <c r="C36" s="27" t="s">
        <v>5</v>
      </c>
    </row>
    <row r="37" spans="1:3">
      <c r="A37" s="26">
        <v>135</v>
      </c>
      <c r="B37" s="26" t="s">
        <v>2</v>
      </c>
      <c r="C37" s="26" t="s">
        <v>14</v>
      </c>
    </row>
    <row r="38" spans="1:3">
      <c r="A38" s="27">
        <v>849</v>
      </c>
      <c r="B38" s="27" t="s">
        <v>11</v>
      </c>
      <c r="C38" s="27" t="s">
        <v>3</v>
      </c>
    </row>
    <row r="39" spans="1:3">
      <c r="A39" s="26">
        <v>158</v>
      </c>
      <c r="B39" s="26" t="s">
        <v>13</v>
      </c>
      <c r="C39" s="26" t="s">
        <v>8</v>
      </c>
    </row>
    <row r="40" spans="1:3">
      <c r="A40" s="27">
        <v>1889</v>
      </c>
      <c r="B40" s="27" t="s">
        <v>11</v>
      </c>
      <c r="C40" s="27" t="s">
        <v>10</v>
      </c>
    </row>
    <row r="41" spans="1:3">
      <c r="A41" s="26">
        <v>651</v>
      </c>
      <c r="B41" s="26" t="s">
        <v>13</v>
      </c>
      <c r="C41" s="26" t="s">
        <v>5</v>
      </c>
    </row>
    <row r="42" spans="1:3">
      <c r="A42" s="27">
        <v>651</v>
      </c>
      <c r="B42" s="27" t="s">
        <v>6</v>
      </c>
      <c r="C42" s="27" t="s">
        <v>3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3" sqref="B3"/>
    </sheetView>
  </sheetViews>
  <sheetFormatPr baseColWidth="10" defaultRowHeight="15"/>
  <cols>
    <col min="1" max="1" width="21" bestFit="1" customWidth="1"/>
    <col min="2" max="2" width="18.85546875" customWidth="1"/>
    <col min="3" max="3" width="20.7109375" customWidth="1"/>
    <col min="4" max="29" width="4" customWidth="1"/>
    <col min="30" max="38" width="5" customWidth="1"/>
    <col min="39" max="39" width="12.5703125" bestFit="1" customWidth="1"/>
  </cols>
  <sheetData>
    <row r="1" spans="1:3">
      <c r="B1" s="7" t="s">
        <v>22</v>
      </c>
    </row>
    <row r="2" spans="1:3">
      <c r="A2" s="7" t="s">
        <v>18</v>
      </c>
      <c r="B2" t="s">
        <v>17</v>
      </c>
      <c r="C2" t="s">
        <v>20</v>
      </c>
    </row>
    <row r="3" spans="1:3">
      <c r="A3" s="8" t="s">
        <v>2</v>
      </c>
      <c r="B3" s="6">
        <v>8177</v>
      </c>
      <c r="C3" s="6">
        <v>1022.125</v>
      </c>
    </row>
    <row r="4" spans="1:3">
      <c r="A4" s="8" t="s">
        <v>6</v>
      </c>
      <c r="B4" s="6">
        <v>4877</v>
      </c>
      <c r="C4" s="6">
        <v>609.625</v>
      </c>
    </row>
    <row r="5" spans="1:3">
      <c r="A5" s="8" t="s">
        <v>11</v>
      </c>
      <c r="B5" s="6">
        <v>7761</v>
      </c>
      <c r="C5" s="6">
        <v>970.125</v>
      </c>
    </row>
    <row r="6" spans="1:3">
      <c r="A6" s="8" t="s">
        <v>4</v>
      </c>
      <c r="B6" s="6">
        <v>15071</v>
      </c>
      <c r="C6" s="6">
        <v>1883.875</v>
      </c>
    </row>
    <row r="7" spans="1:3">
      <c r="A7" s="8" t="s">
        <v>13</v>
      </c>
      <c r="B7" s="6">
        <v>4188</v>
      </c>
      <c r="C7" s="6">
        <v>523.5</v>
      </c>
    </row>
    <row r="8" spans="1:3">
      <c r="A8" s="8" t="s">
        <v>19</v>
      </c>
      <c r="B8" s="6">
        <v>40074</v>
      </c>
      <c r="C8" s="6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baseColWidth="10" defaultRowHeight="15"/>
  <cols>
    <col min="1" max="1" width="21" bestFit="1" customWidth="1"/>
    <col min="2" max="2" width="18.85546875" customWidth="1"/>
    <col min="3" max="3" width="21.85546875" customWidth="1"/>
    <col min="4" max="24" width="4" customWidth="1"/>
    <col min="25" max="25" width="5" customWidth="1"/>
    <col min="26" max="26" width="4" customWidth="1"/>
    <col min="27" max="27" width="5" customWidth="1"/>
    <col min="28" max="28" width="4" customWidth="1"/>
    <col min="29" max="38" width="5" customWidth="1"/>
    <col min="39" max="39" width="12.5703125" bestFit="1" customWidth="1"/>
  </cols>
  <sheetData>
    <row r="1" spans="1:3">
      <c r="B1" s="7" t="s">
        <v>22</v>
      </c>
    </row>
    <row r="2" spans="1:3">
      <c r="A2" s="7" t="s">
        <v>18</v>
      </c>
      <c r="B2" t="s">
        <v>17</v>
      </c>
      <c r="C2" t="s">
        <v>23</v>
      </c>
    </row>
    <row r="3" spans="1:3">
      <c r="A3" s="8" t="s">
        <v>5</v>
      </c>
      <c r="B3" s="6">
        <v>14127</v>
      </c>
      <c r="C3" s="6">
        <v>2825.4</v>
      </c>
    </row>
    <row r="4" spans="1:3">
      <c r="A4" s="8" t="s">
        <v>9</v>
      </c>
      <c r="B4" s="6">
        <v>5253</v>
      </c>
      <c r="C4" s="6">
        <v>1050.5999999999999</v>
      </c>
    </row>
    <row r="5" spans="1:3">
      <c r="A5" s="8" t="s">
        <v>10</v>
      </c>
      <c r="B5" s="6">
        <v>4965</v>
      </c>
      <c r="C5" s="6">
        <v>993</v>
      </c>
    </row>
    <row r="6" spans="1:3">
      <c r="A6" s="8" t="s">
        <v>7</v>
      </c>
      <c r="B6" s="6">
        <v>6247</v>
      </c>
      <c r="C6" s="6">
        <v>1249.4000000000001</v>
      </c>
    </row>
    <row r="7" spans="1:3">
      <c r="A7" s="8" t="s">
        <v>8</v>
      </c>
      <c r="B7" s="6">
        <v>2240</v>
      </c>
      <c r="C7" s="6">
        <v>448</v>
      </c>
    </row>
    <row r="8" spans="1:3">
      <c r="A8" s="8" t="s">
        <v>14</v>
      </c>
      <c r="B8" s="6">
        <v>1887</v>
      </c>
      <c r="C8" s="6">
        <v>377.4</v>
      </c>
    </row>
    <row r="9" spans="1:3">
      <c r="A9" s="8" t="s">
        <v>12</v>
      </c>
      <c r="B9" s="6">
        <v>2661</v>
      </c>
      <c r="C9" s="6">
        <v>532.20000000000005</v>
      </c>
    </row>
    <row r="10" spans="1:3">
      <c r="A10" s="8" t="s">
        <v>3</v>
      </c>
      <c r="B10" s="6">
        <v>2694</v>
      </c>
      <c r="C10" s="6">
        <v>538.79999999999995</v>
      </c>
    </row>
    <row r="11" spans="1:3">
      <c r="A11" s="8" t="s">
        <v>19</v>
      </c>
      <c r="B11" s="6">
        <v>40074</v>
      </c>
      <c r="C11" s="6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E20" sqref="E20"/>
    </sheetView>
  </sheetViews>
  <sheetFormatPr baseColWidth="10" defaultRowHeight="15"/>
  <cols>
    <col min="1" max="1" width="21" bestFit="1" customWidth="1"/>
    <col min="2" max="2" width="23.85546875" bestFit="1" customWidth="1"/>
    <col min="3" max="3" width="10.28515625" customWidth="1"/>
    <col min="4" max="4" width="12.5703125" bestFit="1" customWidth="1"/>
    <col min="5" max="5" width="7.42578125" customWidth="1"/>
    <col min="6" max="6" width="10.85546875" customWidth="1"/>
    <col min="7" max="7" width="12.5703125" bestFit="1" customWidth="1"/>
  </cols>
  <sheetData>
    <row r="1" spans="1:7">
      <c r="A1" s="7" t="s">
        <v>17</v>
      </c>
      <c r="B1" s="7" t="s">
        <v>21</v>
      </c>
    </row>
    <row r="2" spans="1:7">
      <c r="A2" s="7" t="s">
        <v>18</v>
      </c>
      <c r="B2" t="s">
        <v>2</v>
      </c>
      <c r="C2" t="s">
        <v>6</v>
      </c>
      <c r="D2" t="s">
        <v>11</v>
      </c>
      <c r="E2" t="s">
        <v>4</v>
      </c>
      <c r="F2" t="s">
        <v>13</v>
      </c>
      <c r="G2" t="s">
        <v>19</v>
      </c>
    </row>
    <row r="3" spans="1:7">
      <c r="A3" s="8" t="s">
        <v>5</v>
      </c>
      <c r="B3" s="6">
        <v>1358</v>
      </c>
      <c r="C3" s="6">
        <v>972</v>
      </c>
      <c r="D3" s="6">
        <v>1579</v>
      </c>
      <c r="E3" s="6">
        <v>9567</v>
      </c>
      <c r="F3" s="6">
        <v>651</v>
      </c>
      <c r="G3" s="6">
        <v>14127</v>
      </c>
    </row>
    <row r="4" spans="1:7">
      <c r="A4" s="8" t="s">
        <v>9</v>
      </c>
      <c r="B4" s="6">
        <v>849</v>
      </c>
      <c r="C4" s="6">
        <v>608</v>
      </c>
      <c r="D4" s="6">
        <v>1688</v>
      </c>
      <c r="E4" s="6">
        <v>1793</v>
      </c>
      <c r="F4" s="6">
        <v>315</v>
      </c>
      <c r="G4" s="6">
        <v>5253</v>
      </c>
    </row>
    <row r="5" spans="1:7">
      <c r="A5" s="8" t="s">
        <v>10</v>
      </c>
      <c r="B5" s="6">
        <v>1355</v>
      </c>
      <c r="C5" s="6">
        <v>552</v>
      </c>
      <c r="D5" s="6">
        <v>1889</v>
      </c>
      <c r="E5" s="6">
        <v>618</v>
      </c>
      <c r="F5" s="6">
        <v>551</v>
      </c>
      <c r="G5" s="6">
        <v>4965</v>
      </c>
    </row>
    <row r="6" spans="1:7">
      <c r="A6" s="8" t="s">
        <v>7</v>
      </c>
      <c r="B6" s="6">
        <v>3155</v>
      </c>
      <c r="C6" s="6">
        <v>542</v>
      </c>
      <c r="D6" s="6">
        <v>316</v>
      </c>
      <c r="E6" s="6">
        <v>547</v>
      </c>
      <c r="F6" s="6">
        <v>1687</v>
      </c>
      <c r="G6" s="6">
        <v>6247</v>
      </c>
    </row>
    <row r="7" spans="1:7">
      <c r="A7" s="8" t="s">
        <v>8</v>
      </c>
      <c r="B7" s="6">
        <v>173</v>
      </c>
      <c r="C7" s="6">
        <v>346</v>
      </c>
      <c r="D7" s="6">
        <v>615</v>
      </c>
      <c r="E7" s="6">
        <v>948</v>
      </c>
      <c r="F7" s="6">
        <v>158</v>
      </c>
      <c r="G7" s="6">
        <v>2240</v>
      </c>
    </row>
    <row r="8" spans="1:7">
      <c r="A8" s="8" t="s">
        <v>14</v>
      </c>
      <c r="B8" s="6">
        <v>135</v>
      </c>
      <c r="C8" s="6">
        <v>234</v>
      </c>
      <c r="D8" s="6">
        <v>632</v>
      </c>
      <c r="E8" s="6">
        <v>568</v>
      </c>
      <c r="F8" s="6">
        <v>318</v>
      </c>
      <c r="G8" s="6">
        <v>1887</v>
      </c>
    </row>
    <row r="9" spans="1:7">
      <c r="A9" s="8" t="s">
        <v>12</v>
      </c>
      <c r="B9" s="6">
        <v>561</v>
      </c>
      <c r="C9" s="6">
        <v>972</v>
      </c>
      <c r="D9" s="6">
        <v>193</v>
      </c>
      <c r="E9" s="6">
        <v>784</v>
      </c>
      <c r="F9" s="6">
        <v>151</v>
      </c>
      <c r="G9" s="6">
        <v>2661</v>
      </c>
    </row>
    <row r="10" spans="1:7">
      <c r="A10" s="8" t="s">
        <v>3</v>
      </c>
      <c r="B10" s="6">
        <v>591</v>
      </c>
      <c r="C10" s="6">
        <v>651</v>
      </c>
      <c r="D10" s="6">
        <v>849</v>
      </c>
      <c r="E10" s="6">
        <v>246</v>
      </c>
      <c r="F10" s="6">
        <v>357</v>
      </c>
      <c r="G10" s="6">
        <v>2694</v>
      </c>
    </row>
    <row r="11" spans="1:7">
      <c r="A11" s="8" t="s">
        <v>19</v>
      </c>
      <c r="B11" s="6">
        <v>8177</v>
      </c>
      <c r="C11" s="6">
        <v>4877</v>
      </c>
      <c r="D11" s="6">
        <v>7761</v>
      </c>
      <c r="E11" s="6">
        <v>15071</v>
      </c>
      <c r="F11" s="6">
        <v>4188</v>
      </c>
      <c r="G11" s="6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G1" sqref="A1:G1"/>
    </sheetView>
  </sheetViews>
  <sheetFormatPr baseColWidth="10" defaultRowHeight="15"/>
  <cols>
    <col min="1" max="1" width="13.140625" customWidth="1"/>
    <col min="2" max="2" width="13.42578125" bestFit="1" customWidth="1"/>
    <col min="4" max="4" width="13.42578125" bestFit="1" customWidth="1"/>
    <col min="5" max="5" width="16.7109375" style="9" customWidth="1"/>
    <col min="6" max="6" width="15.5703125" customWidth="1"/>
    <col min="7" max="7" width="19.140625" customWidth="1"/>
  </cols>
  <sheetData>
    <row r="1" spans="1:7">
      <c r="A1" s="34" t="s">
        <v>24</v>
      </c>
      <c r="B1" s="34" t="s">
        <v>25</v>
      </c>
      <c r="C1" s="34" t="s">
        <v>26</v>
      </c>
      <c r="D1" s="34" t="s">
        <v>27</v>
      </c>
      <c r="E1" s="35" t="s">
        <v>28</v>
      </c>
      <c r="F1" s="34" t="s">
        <v>29</v>
      </c>
      <c r="G1" s="34" t="s">
        <v>30</v>
      </c>
    </row>
    <row r="2" spans="1:7">
      <c r="A2" s="28">
        <v>1</v>
      </c>
      <c r="B2" s="29">
        <v>120</v>
      </c>
      <c r="C2" s="28">
        <v>3</v>
      </c>
      <c r="D2" s="29">
        <v>360</v>
      </c>
      <c r="E2" s="30">
        <f>IF(D2&gt;=100,IF(D2&gt;=1000,10%,5%),0%)</f>
        <v>0.05</v>
      </c>
      <c r="F2" s="29">
        <f>D2*E2</f>
        <v>18</v>
      </c>
      <c r="G2" s="29">
        <f>D2-F2</f>
        <v>342</v>
      </c>
    </row>
    <row r="3" spans="1:7">
      <c r="A3" s="31">
        <v>2</v>
      </c>
      <c r="B3" s="32">
        <v>56</v>
      </c>
      <c r="C3" s="31">
        <v>5</v>
      </c>
      <c r="D3" s="32">
        <v>280</v>
      </c>
      <c r="E3" s="33">
        <f t="shared" ref="E3:E15" si="0">IF(D3&gt;=100,IF(D3&gt;=1000,10%,5%),0%)</f>
        <v>0.05</v>
      </c>
      <c r="F3" s="32">
        <f t="shared" ref="F3:F14" si="1">D3*E3</f>
        <v>14</v>
      </c>
      <c r="G3" s="32">
        <f t="shared" ref="G3:G15" si="2">D3-F3</f>
        <v>266</v>
      </c>
    </row>
    <row r="4" spans="1:7">
      <c r="A4" s="28">
        <v>3</v>
      </c>
      <c r="B4" s="29">
        <v>70</v>
      </c>
      <c r="C4" s="28">
        <v>2</v>
      </c>
      <c r="D4" s="29">
        <v>140</v>
      </c>
      <c r="E4" s="30">
        <f t="shared" si="0"/>
        <v>0.05</v>
      </c>
      <c r="F4" s="29">
        <f t="shared" si="1"/>
        <v>7</v>
      </c>
      <c r="G4" s="29">
        <f t="shared" si="2"/>
        <v>133</v>
      </c>
    </row>
    <row r="5" spans="1:7">
      <c r="A5" s="31">
        <v>4</v>
      </c>
      <c r="B5" s="32">
        <v>430</v>
      </c>
      <c r="C5" s="31">
        <v>7</v>
      </c>
      <c r="D5" s="32">
        <v>3010</v>
      </c>
      <c r="E5" s="33">
        <f t="shared" si="0"/>
        <v>0.1</v>
      </c>
      <c r="F5" s="32">
        <f t="shared" si="1"/>
        <v>301</v>
      </c>
      <c r="G5" s="32">
        <f t="shared" si="2"/>
        <v>2709</v>
      </c>
    </row>
    <row r="6" spans="1:7">
      <c r="A6" s="28">
        <v>5</v>
      </c>
      <c r="B6" s="29">
        <v>230</v>
      </c>
      <c r="C6" s="28">
        <v>23</v>
      </c>
      <c r="D6" s="29">
        <v>5290</v>
      </c>
      <c r="E6" s="30">
        <f t="shared" si="0"/>
        <v>0.1</v>
      </c>
      <c r="F6" s="29">
        <f t="shared" si="1"/>
        <v>529</v>
      </c>
      <c r="G6" s="29">
        <f t="shared" si="2"/>
        <v>4761</v>
      </c>
    </row>
    <row r="7" spans="1:7">
      <c r="A7" s="31">
        <v>6</v>
      </c>
      <c r="B7" s="32">
        <v>10</v>
      </c>
      <c r="C7" s="31">
        <v>2</v>
      </c>
      <c r="D7" s="32">
        <v>20</v>
      </c>
      <c r="E7" s="33">
        <f t="shared" si="0"/>
        <v>0</v>
      </c>
      <c r="F7" s="32">
        <f t="shared" si="1"/>
        <v>0</v>
      </c>
      <c r="G7" s="32">
        <f t="shared" si="2"/>
        <v>20</v>
      </c>
    </row>
    <row r="8" spans="1:7">
      <c r="A8" s="28">
        <v>7</v>
      </c>
      <c r="B8" s="29">
        <v>5</v>
      </c>
      <c r="C8" s="28">
        <v>8</v>
      </c>
      <c r="D8" s="29">
        <v>40</v>
      </c>
      <c r="E8" s="30">
        <f t="shared" si="0"/>
        <v>0</v>
      </c>
      <c r="F8" s="29">
        <f t="shared" si="1"/>
        <v>0</v>
      </c>
      <c r="G8" s="29">
        <f t="shared" si="2"/>
        <v>40</v>
      </c>
    </row>
    <row r="9" spans="1:7">
      <c r="A9" s="31">
        <v>8</v>
      </c>
      <c r="B9" s="32">
        <v>5040</v>
      </c>
      <c r="C9" s="31">
        <v>1</v>
      </c>
      <c r="D9" s="32">
        <v>5040</v>
      </c>
      <c r="E9" s="33">
        <f t="shared" si="0"/>
        <v>0.1</v>
      </c>
      <c r="F9" s="32">
        <f t="shared" si="1"/>
        <v>504</v>
      </c>
      <c r="G9" s="32">
        <f t="shared" si="2"/>
        <v>4536</v>
      </c>
    </row>
    <row r="10" spans="1:7">
      <c r="A10" s="28">
        <v>9</v>
      </c>
      <c r="B10" s="29">
        <v>1200</v>
      </c>
      <c r="C10" s="28">
        <v>3</v>
      </c>
      <c r="D10" s="29">
        <v>3600</v>
      </c>
      <c r="E10" s="30">
        <f t="shared" si="0"/>
        <v>0.1</v>
      </c>
      <c r="F10" s="29">
        <f t="shared" si="1"/>
        <v>360</v>
      </c>
      <c r="G10" s="29">
        <f t="shared" si="2"/>
        <v>3240</v>
      </c>
    </row>
    <row r="11" spans="1:7">
      <c r="A11" s="31">
        <v>10</v>
      </c>
      <c r="B11" s="32">
        <v>480</v>
      </c>
      <c r="C11" s="31">
        <v>4</v>
      </c>
      <c r="D11" s="32">
        <v>1920</v>
      </c>
      <c r="E11" s="33">
        <f t="shared" si="0"/>
        <v>0.1</v>
      </c>
      <c r="F11" s="32">
        <f t="shared" si="1"/>
        <v>192</v>
      </c>
      <c r="G11" s="32">
        <f t="shared" si="2"/>
        <v>1728</v>
      </c>
    </row>
    <row r="12" spans="1:7">
      <c r="A12" s="28">
        <v>11</v>
      </c>
      <c r="B12" s="29">
        <v>33</v>
      </c>
      <c r="C12" s="28">
        <v>5</v>
      </c>
      <c r="D12" s="29">
        <v>165</v>
      </c>
      <c r="E12" s="30">
        <f t="shared" si="0"/>
        <v>0.05</v>
      </c>
      <c r="F12" s="29">
        <f t="shared" si="1"/>
        <v>8.25</v>
      </c>
      <c r="G12" s="29">
        <f t="shared" si="2"/>
        <v>156.75</v>
      </c>
    </row>
    <row r="13" spans="1:7">
      <c r="A13" s="31">
        <v>12</v>
      </c>
      <c r="B13" s="32">
        <v>1200</v>
      </c>
      <c r="C13" s="31">
        <v>2</v>
      </c>
      <c r="D13" s="32">
        <v>2400</v>
      </c>
      <c r="E13" s="33">
        <f t="shared" si="0"/>
        <v>0.1</v>
      </c>
      <c r="F13" s="32">
        <f t="shared" si="1"/>
        <v>240</v>
      </c>
      <c r="G13" s="32">
        <f t="shared" si="2"/>
        <v>2160</v>
      </c>
    </row>
    <row r="14" spans="1:7">
      <c r="A14" s="28">
        <v>13</v>
      </c>
      <c r="B14" s="29">
        <v>15</v>
      </c>
      <c r="C14" s="28">
        <v>10</v>
      </c>
      <c r="D14" s="29">
        <v>150</v>
      </c>
      <c r="E14" s="30">
        <f t="shared" si="0"/>
        <v>0.05</v>
      </c>
      <c r="F14" s="29">
        <f t="shared" si="1"/>
        <v>7.5</v>
      </c>
      <c r="G14" s="29">
        <f t="shared" si="2"/>
        <v>142.5</v>
      </c>
    </row>
    <row r="15" spans="1:7">
      <c r="A15" s="31">
        <v>14</v>
      </c>
      <c r="B15" s="32">
        <v>24</v>
      </c>
      <c r="C15" s="31">
        <v>5</v>
      </c>
      <c r="D15" s="32">
        <v>120</v>
      </c>
      <c r="E15" s="33">
        <f t="shared" si="0"/>
        <v>0.05</v>
      </c>
      <c r="F15" s="32">
        <f>D15*E15</f>
        <v>6</v>
      </c>
      <c r="G15" s="32">
        <f t="shared" si="2"/>
        <v>114</v>
      </c>
    </row>
    <row r="18" spans="6:9">
      <c r="F18" s="11" t="s">
        <v>31</v>
      </c>
      <c r="G18" s="12"/>
      <c r="H18" s="19">
        <f>SUM(G2:G15)</f>
        <v>20348.25</v>
      </c>
      <c r="I18" s="17"/>
    </row>
    <row r="19" spans="6:9">
      <c r="F19" s="13" t="s">
        <v>32</v>
      </c>
      <c r="G19" s="14"/>
      <c r="H19" s="20">
        <v>0.19</v>
      </c>
      <c r="I19" s="18"/>
    </row>
    <row r="20" spans="6:9">
      <c r="F20" s="13" t="s">
        <v>33</v>
      </c>
      <c r="G20" s="14"/>
      <c r="H20" s="21">
        <f>H18*H19</f>
        <v>3866.1675</v>
      </c>
      <c r="I20" s="18"/>
    </row>
    <row r="21" spans="6:9">
      <c r="F21" s="15" t="s">
        <v>34</v>
      </c>
      <c r="G21" s="16"/>
      <c r="H21" s="22">
        <f>H18+H20</f>
        <v>24214.4175</v>
      </c>
      <c r="I21" s="23"/>
    </row>
  </sheetData>
  <mergeCells count="8">
    <mergeCell ref="H18:I18"/>
    <mergeCell ref="H19:I19"/>
    <mergeCell ref="H20:I20"/>
    <mergeCell ref="H21:I21"/>
    <mergeCell ref="F18:G18"/>
    <mergeCell ref="F19:G19"/>
    <mergeCell ref="F20:G20"/>
    <mergeCell ref="F21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D15" sqref="D15"/>
    </sheetView>
  </sheetViews>
  <sheetFormatPr baseColWidth="10" defaultRowHeight="15"/>
  <cols>
    <col min="1" max="1" width="14.28515625" customWidth="1"/>
    <col min="2" max="2" width="15.28515625" customWidth="1"/>
    <col min="3" max="3" width="16.42578125" customWidth="1"/>
  </cols>
  <sheetData>
    <row r="1" spans="1:3">
      <c r="A1" s="36" t="s">
        <v>35</v>
      </c>
      <c r="B1" s="36" t="s">
        <v>36</v>
      </c>
      <c r="C1" s="36" t="s">
        <v>37</v>
      </c>
    </row>
    <row r="2" spans="1:3">
      <c r="A2" s="25">
        <v>1</v>
      </c>
      <c r="B2" s="25">
        <v>5</v>
      </c>
      <c r="C2" s="25">
        <f>B2/A2</f>
        <v>5</v>
      </c>
    </row>
    <row r="3" spans="1:3">
      <c r="A3" s="24">
        <v>2</v>
      </c>
      <c r="B3" s="24">
        <v>10</v>
      </c>
      <c r="C3" s="24">
        <f>B3/A3</f>
        <v>5</v>
      </c>
    </row>
    <row r="4" spans="1:3">
      <c r="A4" s="25">
        <v>3</v>
      </c>
      <c r="B4" s="25">
        <v>17</v>
      </c>
      <c r="C4" s="25">
        <f t="shared" ref="C4:C11" si="0">B4/A4</f>
        <v>5.666666666666667</v>
      </c>
    </row>
    <row r="5" spans="1:3">
      <c r="A5" s="24">
        <v>4</v>
      </c>
      <c r="B5" s="24">
        <v>27</v>
      </c>
      <c r="C5" s="24">
        <f t="shared" si="0"/>
        <v>6.75</v>
      </c>
    </row>
    <row r="6" spans="1:3">
      <c r="A6" s="25">
        <v>5</v>
      </c>
      <c r="B6" s="25">
        <v>37</v>
      </c>
      <c r="C6" s="25">
        <f t="shared" si="0"/>
        <v>7.4</v>
      </c>
    </row>
    <row r="7" spans="1:3">
      <c r="A7" s="24">
        <v>6</v>
      </c>
      <c r="B7" s="24">
        <v>49</v>
      </c>
      <c r="C7" s="24">
        <f t="shared" si="0"/>
        <v>8.1666666666666661</v>
      </c>
    </row>
    <row r="8" spans="1:3">
      <c r="A8" s="25">
        <v>7</v>
      </c>
      <c r="B8" s="25">
        <v>63</v>
      </c>
      <c r="C8" s="25">
        <f t="shared" si="0"/>
        <v>9</v>
      </c>
    </row>
    <row r="9" spans="1:3">
      <c r="A9" s="24">
        <v>8</v>
      </c>
      <c r="B9" s="24">
        <v>75</v>
      </c>
      <c r="C9" s="24">
        <f t="shared" si="0"/>
        <v>9.375</v>
      </c>
    </row>
    <row r="10" spans="1:3">
      <c r="A10" s="25">
        <v>9</v>
      </c>
      <c r="B10" s="25">
        <v>83</v>
      </c>
      <c r="C10" s="25">
        <f t="shared" si="0"/>
        <v>9.2222222222222214</v>
      </c>
    </row>
    <row r="11" spans="1:3">
      <c r="A11" s="24">
        <v>10</v>
      </c>
      <c r="B11" s="24">
        <v>91</v>
      </c>
      <c r="C11" s="24">
        <f t="shared" si="0"/>
        <v>9.1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G9" sqref="G9"/>
    </sheetView>
  </sheetViews>
  <sheetFormatPr baseColWidth="10" defaultRowHeight="15"/>
  <cols>
    <col min="1" max="1" width="19.28515625" customWidth="1"/>
    <col min="3" max="3" width="14" customWidth="1"/>
  </cols>
  <sheetData>
    <row r="1" spans="1:3">
      <c r="A1" s="2" t="s">
        <v>39</v>
      </c>
      <c r="B1" s="37" t="s">
        <v>38</v>
      </c>
      <c r="C1" s="38"/>
    </row>
    <row r="2" spans="1:3">
      <c r="A2" s="2" t="s">
        <v>40</v>
      </c>
      <c r="B2" s="39">
        <v>242531566308</v>
      </c>
      <c r="C2" s="40"/>
    </row>
    <row r="3" spans="1:3">
      <c r="A3" s="2" t="s">
        <v>41</v>
      </c>
      <c r="B3" s="1" t="s">
        <v>42</v>
      </c>
      <c r="C3" s="1"/>
    </row>
    <row r="4" spans="1:3">
      <c r="A4" s="10"/>
      <c r="B4" s="10"/>
      <c r="C4" s="10"/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Feuil2</vt:lpstr>
      <vt:lpstr>Feuil3</vt:lpstr>
      <vt:lpstr>Feuil4</vt:lpstr>
      <vt:lpstr>Feuil5</vt:lpstr>
      <vt:lpstr>Feuil6</vt:lpstr>
      <vt:lpstr>Feuil7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AZclient</dc:creator>
  <cp:lastModifiedBy>AZclient</cp:lastModifiedBy>
  <dcterms:created xsi:type="dcterms:W3CDTF">2025-12-20T16:24:05Z</dcterms:created>
  <dcterms:modified xsi:type="dcterms:W3CDTF">2025-12-20T21:20:16Z</dcterms:modified>
</cp:coreProperties>
</file>